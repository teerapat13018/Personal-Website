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quecoth-my.sharepoint.com/personal/teerapat_boon_unique_co_th/Documents/Desktop/14_ส่วนตัว/Personal Website/"/>
    </mc:Choice>
  </mc:AlternateContent>
  <xr:revisionPtr revIDLastSave="65" documentId="11_E0E933CCC169B123536AEE710C82F38580E3867B" xr6:coauthVersionLast="47" xr6:coauthVersionMax="47" xr10:uidLastSave="{B9CABCCD-5D68-45C1-BB5C-469F26E6BCBB}"/>
  <bookViews>
    <workbookView xWindow="-110" yWindow="-110" windowWidth="25820" windowHeight="15500" tabRatio="500" xr2:uid="{00000000-000D-0000-FFFF-FFFF00000000}"/>
  </bookViews>
  <sheets>
    <sheet name="Portfolio" sheetId="1" r:id="rId1"/>
    <sheet name="ETF_Holdings" sheetId="2" r:id="rId2"/>
    <sheet name="Rebalancing" sheetId="3" r:id="rId3"/>
  </sheets>
  <definedNames>
    <definedName name="_xlnm._FilterDatabase" localSheetId="1" hidden="1">ETF_Holdings!$A$3:$D$3</definedName>
    <definedName name="_xlnm._FilterDatabase" localSheetId="2" hidden="1">Rebalancing!$A$3:$C$3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3" l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<sst xmlns="http://schemas.openxmlformats.org/spreadsheetml/2006/main" count="142" uniqueCount="87">
  <si>
    <t>📊 Investment Portfolio — Import Template</t>
  </si>
  <si>
    <t>วิธีใช้: กรอกข้อมูลตั้งแต่แถว 5 ลงไป  |  Ticker หุ้นไทยต้องต่อด้วย .BK เช่น PTT.BK, ADVANC.BK  |  อย่าลบหัวตาราง</t>
  </si>
  <si>
    <t>ticker</t>
  </si>
  <si>
    <t>qty</t>
  </si>
  <si>
    <t>avg_cost</t>
  </si>
  <si>
    <t>total_cost (auto)</t>
  </si>
  <si>
    <t>หมายเหตุ / Note</t>
  </si>
  <si>
    <t>AMZN</t>
  </si>
  <si>
    <t>DRx — Tencent</t>
  </si>
  <si>
    <t>GOOGL</t>
  </si>
  <si>
    <t>ตัวอย่างหุ้นไทย</t>
  </si>
  <si>
    <t>LLY</t>
  </si>
  <si>
    <t>TSM</t>
  </si>
  <si>
    <t>หุ้น US ไม่ต้องต่อ .BK</t>
  </si>
  <si>
    <t>NVDA</t>
  </si>
  <si>
    <t>ETF — Nasdaq 100</t>
  </si>
  <si>
    <t>TSLA</t>
  </si>
  <si>
    <t>META</t>
  </si>
  <si>
    <t>CRWD</t>
  </si>
  <si>
    <t>PANW</t>
  </si>
  <si>
    <t>PLTR</t>
  </si>
  <si>
    <t>ISRG</t>
  </si>
  <si>
    <t>AMD</t>
  </si>
  <si>
    <t>NEE</t>
  </si>
  <si>
    <t>AXON</t>
  </si>
  <si>
    <t>NET</t>
  </si>
  <si>
    <t>RKLB</t>
  </si>
  <si>
    <t>UBER</t>
  </si>
  <si>
    <t>ARM</t>
  </si>
  <si>
    <t>IONQ</t>
  </si>
  <si>
    <t>KTOS</t>
  </si>
  <si>
    <t>NBIS</t>
  </si>
  <si>
    <t>ASTS</t>
  </si>
  <si>
    <t>EOSE</t>
  </si>
  <si>
    <t>OKLO</t>
  </si>
  <si>
    <t>ONDS</t>
  </si>
  <si>
    <t>TMC</t>
  </si>
  <si>
    <t>VXUS</t>
  </si>
  <si>
    <t>QBTS</t>
  </si>
  <si>
    <t>TENCENT80.BK</t>
  </si>
  <si>
    <t>🔵 ตัวอักษรน้ำเงิน = ช่องที่คุณกรอกเอง (ticker, qty, avg_cost)</t>
  </si>
  <si>
    <t>⚫ ตัวอักษรดำ = สูตรคำนวณอัตโนมัติ (total_cost)  |  อย่าแก้คอลัมน์ D</t>
  </si>
  <si>
    <t>📌 กรอก Ticker ให้ถูกต้อง — ระบบจะค้นหาราคาจาก Yahoo Finance</t>
  </si>
  <si>
    <t>ETF Holdings (Manual Override)</t>
  </si>
  <si>
    <t>กรอกข้อมูล Holdings ของ ETF ที่ถืออยู่ในพอร์ต  |  etf_ticker ต้องตรงกับที่กรอกใน Portfolio sheet  |  weight_pct = % ของมูลค่า ETF  |  รวมได้ไม่เกิน 100% ต่อ ETF</t>
  </si>
  <si>
    <t>etf_ticker</t>
  </si>
  <si>
    <t>symbol</t>
  </si>
  <si>
    <t>weight_pct</t>
  </si>
  <si>
    <t>note</t>
  </si>
  <si>
    <t>TSMC</t>
  </si>
  <si>
    <t>ASML</t>
  </si>
  <si>
    <t>ASML Holding NV</t>
  </si>
  <si>
    <t>Samsung Electronics</t>
  </si>
  <si>
    <t>Tencent Holdings</t>
  </si>
  <si>
    <t>Alibaba Group</t>
  </si>
  <si>
    <t>SK Hynix</t>
  </si>
  <si>
    <t>ROG</t>
  </si>
  <si>
    <t>Roche Holding</t>
  </si>
  <si>
    <t>HSBA</t>
  </si>
  <si>
    <t>HSBC Holdings</t>
  </si>
  <si>
    <t>NOVN</t>
  </si>
  <si>
    <t>Novartis</t>
  </si>
  <si>
    <t>AZN</t>
  </si>
  <si>
    <t>AstraZeneca</t>
  </si>
  <si>
    <t>Toyota Motor</t>
  </si>
  <si>
    <t>NESN</t>
  </si>
  <si>
    <t>Nestle</t>
  </si>
  <si>
    <t>RY</t>
  </si>
  <si>
    <t>Royal Bank of Canada</t>
  </si>
  <si>
    <t>SHEL</t>
  </si>
  <si>
    <t>Shell PLC</t>
  </si>
  <si>
    <t>SIE</t>
  </si>
  <si>
    <t>Siemens AG</t>
  </si>
  <si>
    <t>SAP</t>
  </si>
  <si>
    <t>SAP SE</t>
  </si>
  <si>
    <t>Mitsubishi UFJ Financial</t>
  </si>
  <si>
    <t>SAN</t>
  </si>
  <si>
    <t>Banco Santander</t>
  </si>
  <si>
    <t>MC</t>
  </si>
  <si>
    <t>LVMH Moët Hennessy</t>
  </si>
  <si>
    <t>ITX</t>
  </si>
  <si>
    <t>Inditex (Zara)</t>
  </si>
  <si>
    <t>Target Allocation (%) — Rebalancing</t>
  </si>
  <si>
    <t>กรอก target_pct ให้รวมกันได้ = 100%  |  ticker ต้องตรงกับที่กรอกใน Portfolio sheet  |  บันทึกไฟล์ → กด Run Analysis บน Dashboard</t>
  </si>
  <si>
    <t>target_pct (%)</t>
  </si>
  <si>
    <t>TOTAL</t>
  </si>
  <si>
    <t>AVGO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</si>
</sst>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15" x14ac:knownFonts="1">
    <font>
      <sz val="11"/>
      <color theme="1"/>
      <name val="Calibri"/>
      <family val="2"/>
      <charset val="1"/>
    </font>
    <font>
      <b/>
      <sz val="14"/>
      <color rgb="FF4B3F72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b/>
      <sz val="14"/>
      <color rgb="FF1F4E79"/>
      <name val="Calibri"/>
      <family val="2"/>
    </font>
    <font>
      <i/>
      <sz val="10"/>
      <color rgb="FF1F4E79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charset val="1"/>
    </font>
    <font>
      <b/>
      <sz val="14"/>
      <color rgb="FF145A32"/>
      <name val="Calibri"/>
      <family val="2"/>
    </font>
    <font>
      <i/>
      <sz val="10"/>
      <color rgb="FF1E844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145A3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4B3F72"/>
        <bgColor rgb="FF333333"/>
      </patternFill>
    </fill>
    <fill>
      <patternFill patternType="solid">
        <fgColor rgb="FFF5F3FF"/>
        <bgColor rgb="FFFFFFFF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2F9FE"/>
      </patternFill>
    </fill>
    <fill>
      <patternFill patternType="solid">
        <fgColor rgb="FFD5F5E3"/>
      </patternFill>
    </fill>
    <fill>
      <patternFill patternType="solid">
        <fgColor rgb="FF145A32"/>
      </patternFill>
    </fill>
    <fill>
      <patternFill patternType="solid">
        <fgColor rgb="FFEAFAF1"/>
      </patternFill>
    </fill>
    <fill>
      <patternFill patternType="solid">
        <fgColor rgb="FFF9FEF9"/>
      </patternFill>
    </fill>
    <fill>
      <patternFill patternType="solid">
        <fgColor rgb="FFFFF9C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A9DFBF"/>
      </left>
      <right style="thin">
        <color rgb="FFA9DFBF"/>
      </right>
      <top style="thin">
        <color rgb="FFA9DFBF"/>
      </top>
      <bottom style="thin">
        <color rgb="FFA9DFBF"/>
      </bottom>
      <diagonal/>
    </border>
  </borders>
  <cellStyleXfs count="2">
    <xf numFmtId="0" fontId="0" fillId="0" borderId="0"/>
    <xf numFmtId="9" fontId="9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0" fillId="7" borderId="2" xfId="0" applyFill="1" applyBorder="1" applyAlignment="1">
      <alignment horizontal="center"/>
    </xf>
    <xf numFmtId="0" fontId="0" fillId="7" borderId="2" xfId="0" applyFill="1" applyBorder="1" applyAlignment="1">
      <alignment horizontal="left"/>
    </xf>
    <xf numFmtId="10" fontId="0" fillId="0" borderId="0" xfId="0" applyNumberFormat="1"/>
    <xf numFmtId="10" fontId="8" fillId="5" borderId="2" xfId="1" applyNumberFormat="1" applyFont="1" applyFill="1" applyBorder="1" applyAlignment="1">
      <alignment horizontal="center" vertical="center"/>
    </xf>
    <xf numFmtId="10" fontId="0" fillId="6" borderId="2" xfId="1" applyNumberFormat="1" applyFont="1" applyFill="1" applyBorder="1" applyAlignment="1">
      <alignment horizontal="center"/>
    </xf>
    <xf numFmtId="10" fontId="0" fillId="7" borderId="2" xfId="1" applyNumberFormat="1" applyFont="1" applyFill="1" applyBorder="1" applyAlignment="1">
      <alignment horizontal="center"/>
    </xf>
    <xf numFmtId="10" fontId="0" fillId="0" borderId="0" xfId="1" applyNumberFormat="1" applyFont="1"/>
    <xf numFmtId="0" fontId="12" fillId="9" borderId="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left"/>
    </xf>
    <xf numFmtId="0" fontId="0" fillId="11" borderId="3" xfId="0" applyFill="1" applyBorder="1" applyAlignment="1">
      <alignment horizontal="left"/>
    </xf>
    <xf numFmtId="0" fontId="0" fillId="12" borderId="3" xfId="0" applyFill="1" applyBorder="1"/>
    <xf numFmtId="0" fontId="0" fillId="10" borderId="3" xfId="0" applyFill="1" applyBorder="1"/>
    <xf numFmtId="0" fontId="0" fillId="11" borderId="3" xfId="0" applyFill="1" applyBorder="1"/>
    <xf numFmtId="0" fontId="0" fillId="10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187" fontId="0" fillId="10" borderId="3" xfId="0" applyNumberFormat="1" applyFill="1" applyBorder="1" applyAlignment="1">
      <alignment horizontal="center" vertical="center"/>
    </xf>
    <xf numFmtId="187" fontId="0" fillId="11" borderId="3" xfId="0" applyNumberForma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187" fontId="14" fillId="1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10" fontId="0" fillId="0" borderId="0" xfId="1" applyNumberFormat="1" applyFont="1"/>
    <xf numFmtId="0" fontId="7" fillId="4" borderId="0" xfId="0" applyFont="1" applyFill="1" applyAlignment="1">
      <alignment horizontal="left" wrapText="1"/>
    </xf>
    <xf numFmtId="0" fontId="10" fillId="0" borderId="0" xfId="0" applyFont="1" applyAlignment="1">
      <alignment horizontal="left"/>
    </xf>
    <xf numFmtId="0" fontId="11" fillId="8" borderId="0" xfId="0" applyFont="1" applyFill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3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4B3F72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zoomScaleNormal="100" workbookViewId="0">
      <pane ySplit="4" topLeftCell="A5" activePane="bottomLeft" state="frozen"/>
      <selection pane="bottomLeft" activeCell="G29" sqref="G29"/>
    </sheetView>
  </sheetViews>
  <sheetFormatPr defaultColWidth="8.6328125" defaultRowHeight="15" customHeight="1" x14ac:dyDescent="0.35"/>
  <cols>
    <col min="1" max="1" width="18" customWidth="1"/>
    <col min="2" max="2" width="14" customWidth="1"/>
    <col min="3" max="3" width="16" customWidth="1"/>
    <col min="4" max="4" width="20" customWidth="1"/>
    <col min="5" max="5" width="28" customWidth="1"/>
    <col min="6" max="6" width="8" customWidth="1"/>
  </cols>
  <sheetData>
    <row r="1" spans="1:6" ht="30" customHeight="1" x14ac:dyDescent="0.35">
      <c r="A1" s="37" t="s">
        <v>0</v>
      </c>
      <c r="B1" s="36"/>
      <c r="C1" s="36"/>
      <c r="D1" s="36"/>
      <c r="E1" s="36"/>
      <c r="F1" s="36"/>
    </row>
    <row r="2" spans="1:6" ht="18" customHeight="1" x14ac:dyDescent="0.35">
      <c r="A2" s="35" t="s">
        <v>1</v>
      </c>
      <c r="B2" s="36"/>
      <c r="C2" s="36"/>
      <c r="D2" s="36"/>
      <c r="E2" s="36"/>
      <c r="F2" s="36"/>
    </row>
    <row r="3" spans="1:6" ht="6" customHeight="1" x14ac:dyDescent="0.35"/>
    <row r="4" spans="1:6" ht="21.7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/>
    </row>
    <row r="5" spans="1:6" ht="14.5" customHeight="1" x14ac:dyDescent="0.35">
      <c r="A5" s="2" t="s">
        <v>7</v>
      </c>
      <c r="B5" s="3">
        <v>0.4236219</v>
      </c>
      <c r="C5" s="3">
        <v>197.64</v>
      </c>
      <c r="D5" s="4">
        <f>B5*C5</f>
        <v>83.724632315999997</v>
      </c>
      <c r="E5" s="5" t="s">
        <v>8</v>
      </c>
    </row>
    <row r="6" spans="1:6" ht="14.5" customHeight="1" x14ac:dyDescent="0.35">
      <c r="A6" s="6" t="s">
        <v>9</v>
      </c>
      <c r="B6" s="7">
        <v>0.30788470000000001</v>
      </c>
      <c r="C6" s="7">
        <v>164.22</v>
      </c>
      <c r="D6" s="8">
        <f>B6*C6</f>
        <v>50.560825434000002</v>
      </c>
      <c r="E6" s="9" t="s">
        <v>10</v>
      </c>
    </row>
    <row r="7" spans="1:6" ht="14.5" customHeight="1" x14ac:dyDescent="0.35">
      <c r="A7" s="2" t="s">
        <v>11</v>
      </c>
      <c r="B7" s="3">
        <v>7.3729900000000001E-2</v>
      </c>
      <c r="C7" s="3">
        <v>720.64</v>
      </c>
      <c r="D7" s="4">
        <f>B7*C7</f>
        <v>53.132715136000002</v>
      </c>
      <c r="E7" s="5" t="s">
        <v>10</v>
      </c>
    </row>
    <row r="8" spans="1:6" ht="14.5" customHeight="1" x14ac:dyDescent="0.35">
      <c r="A8" s="6" t="s">
        <v>12</v>
      </c>
      <c r="B8" s="7">
        <v>0.34820410000000002</v>
      </c>
      <c r="C8" s="7">
        <v>163.07</v>
      </c>
      <c r="D8" s="8">
        <f>B8*C8</f>
        <v>56.781642587</v>
      </c>
      <c r="E8" s="9" t="s">
        <v>13</v>
      </c>
    </row>
    <row r="9" spans="1:6" ht="14.5" customHeight="1" x14ac:dyDescent="0.35">
      <c r="A9" s="2" t="s">
        <v>14</v>
      </c>
      <c r="B9" s="3">
        <v>0.38</v>
      </c>
      <c r="C9" s="3">
        <v>177.7</v>
      </c>
      <c r="D9" s="4">
        <f>B9*C9</f>
        <v>67.525999999999996</v>
      </c>
      <c r="E9" s="5" t="s">
        <v>15</v>
      </c>
    </row>
    <row r="10" spans="1:6" ht="14.5" customHeight="1" x14ac:dyDescent="0.35">
      <c r="A10" s="6" t="s">
        <v>16</v>
      </c>
      <c r="B10" s="7">
        <v>0.1403298</v>
      </c>
      <c r="C10" s="7">
        <v>241.74</v>
      </c>
      <c r="D10" s="8">
        <f t="shared" ref="D10:D40" si="0">IF(B10="","",B10*C10)</f>
        <v>33.923325852000005</v>
      </c>
      <c r="E10" s="10"/>
    </row>
    <row r="11" spans="1:6" ht="14.5" customHeight="1" x14ac:dyDescent="0.35">
      <c r="A11" s="2" t="s">
        <v>17</v>
      </c>
      <c r="B11" s="3">
        <v>0.1003362</v>
      </c>
      <c r="C11" s="3">
        <v>589.37</v>
      </c>
      <c r="D11" s="4">
        <f t="shared" si="0"/>
        <v>59.135146194000001</v>
      </c>
      <c r="E11" s="11"/>
    </row>
    <row r="12" spans="1:6" ht="14.5" customHeight="1" x14ac:dyDescent="0.35">
      <c r="A12" s="6" t="s">
        <v>18</v>
      </c>
      <c r="B12" s="7">
        <v>0.112</v>
      </c>
      <c r="C12" s="7">
        <v>356.714</v>
      </c>
      <c r="D12" s="8">
        <f t="shared" si="0"/>
        <v>39.951968000000001</v>
      </c>
      <c r="E12" s="10"/>
    </row>
    <row r="13" spans="1:6" ht="14.5" customHeight="1" x14ac:dyDescent="0.35">
      <c r="A13" s="2" t="s">
        <v>19</v>
      </c>
      <c r="B13" s="3">
        <v>0.27979999999999999</v>
      </c>
      <c r="C13" s="3">
        <v>142.93199999999999</v>
      </c>
      <c r="D13" s="4">
        <f t="shared" si="0"/>
        <v>39.992373599999993</v>
      </c>
      <c r="E13" s="11"/>
    </row>
    <row r="14" spans="1:6" ht="14.5" customHeight="1" x14ac:dyDescent="0.35">
      <c r="A14" s="6" t="s">
        <v>20</v>
      </c>
      <c r="B14" s="7">
        <v>0.2167</v>
      </c>
      <c r="C14" s="7">
        <v>129.00399999999999</v>
      </c>
      <c r="D14" s="8">
        <f t="shared" si="0"/>
        <v>27.955166799999997</v>
      </c>
      <c r="E14" s="10"/>
    </row>
    <row r="15" spans="1:6" ht="14.5" customHeight="1" x14ac:dyDescent="0.35">
      <c r="A15" s="2" t="s">
        <v>21</v>
      </c>
      <c r="B15" s="3">
        <v>0.1337363</v>
      </c>
      <c r="C15" s="3">
        <v>448.64</v>
      </c>
      <c r="D15" s="4">
        <f t="shared" si="0"/>
        <v>59.999453631999998</v>
      </c>
      <c r="E15" s="11"/>
    </row>
    <row r="16" spans="1:6" ht="14.5" customHeight="1" x14ac:dyDescent="0.35">
      <c r="A16" s="6" t="s">
        <v>22</v>
      </c>
      <c r="B16" s="7">
        <v>0.24099999999999999</v>
      </c>
      <c r="C16" s="7">
        <v>159.25</v>
      </c>
      <c r="D16" s="8">
        <f t="shared" si="0"/>
        <v>38.379249999999999</v>
      </c>
      <c r="E16" s="10"/>
    </row>
    <row r="17" spans="1:5" ht="14.5" customHeight="1" x14ac:dyDescent="0.35">
      <c r="A17" s="2" t="s">
        <v>23</v>
      </c>
      <c r="B17" s="3">
        <v>0.59116100000000005</v>
      </c>
      <c r="C17" s="3">
        <v>66.48</v>
      </c>
      <c r="D17" s="4">
        <f t="shared" si="0"/>
        <v>39.300383280000005</v>
      </c>
      <c r="E17" s="11"/>
    </row>
    <row r="18" spans="1:5" ht="14.5" customHeight="1" x14ac:dyDescent="0.35">
      <c r="A18" s="6" t="s">
        <v>24</v>
      </c>
      <c r="B18" s="7">
        <v>7.6899999999999996E-2</v>
      </c>
      <c r="C18" s="7">
        <v>441.44600000000003</v>
      </c>
      <c r="D18" s="8">
        <f t="shared" si="0"/>
        <v>33.9471974</v>
      </c>
      <c r="E18" s="10"/>
    </row>
    <row r="19" spans="1:5" ht="14.5" customHeight="1" x14ac:dyDescent="0.35">
      <c r="A19" s="2" t="s">
        <v>25</v>
      </c>
      <c r="B19" s="3">
        <v>0.26100000000000001</v>
      </c>
      <c r="C19" s="3">
        <v>161.893</v>
      </c>
      <c r="D19" s="4">
        <f t="shared" si="0"/>
        <v>42.254072999999998</v>
      </c>
      <c r="E19" s="11"/>
    </row>
    <row r="20" spans="1:5" ht="14.5" customHeight="1" x14ac:dyDescent="0.35">
      <c r="A20" s="6" t="s">
        <v>26</v>
      </c>
      <c r="B20" s="7">
        <v>0.77809519999999999</v>
      </c>
      <c r="C20" s="7">
        <v>27.88</v>
      </c>
      <c r="D20" s="8">
        <f t="shared" si="0"/>
        <v>21.693294175999998</v>
      </c>
      <c r="E20" s="10"/>
    </row>
    <row r="21" spans="1:5" ht="14.5" customHeight="1" x14ac:dyDescent="0.35">
      <c r="A21" s="2" t="s">
        <v>27</v>
      </c>
      <c r="B21" s="3">
        <v>0.47145999999999999</v>
      </c>
      <c r="C21" s="3">
        <v>72.116</v>
      </c>
      <c r="D21" s="4">
        <f t="shared" si="0"/>
        <v>33.99980936</v>
      </c>
      <c r="E21" s="11"/>
    </row>
    <row r="22" spans="1:5" ht="14.5" customHeight="1" x14ac:dyDescent="0.35">
      <c r="A22" s="6" t="s">
        <v>28</v>
      </c>
      <c r="B22" s="7">
        <v>0.33074199999999998</v>
      </c>
      <c r="C22" s="7">
        <v>102.648</v>
      </c>
      <c r="D22" s="8">
        <f t="shared" si="0"/>
        <v>33.950004815999996</v>
      </c>
      <c r="E22" s="10"/>
    </row>
    <row r="23" spans="1:5" ht="14.5" customHeight="1" x14ac:dyDescent="0.35">
      <c r="A23" s="2" t="s">
        <v>29</v>
      </c>
      <c r="B23" s="3">
        <v>0.77400800000000003</v>
      </c>
      <c r="C23" s="3">
        <v>31.31</v>
      </c>
      <c r="D23" s="4">
        <f t="shared" si="0"/>
        <v>24.234190479999999</v>
      </c>
      <c r="E23" s="11"/>
    </row>
    <row r="24" spans="1:5" ht="14.5" customHeight="1" x14ac:dyDescent="0.35">
      <c r="A24" s="6" t="s">
        <v>30</v>
      </c>
      <c r="B24" s="7">
        <v>0.26532889999999998</v>
      </c>
      <c r="C24" s="7">
        <v>77.39</v>
      </c>
      <c r="D24" s="8">
        <f t="shared" si="0"/>
        <v>20.533803571</v>
      </c>
      <c r="E24" s="10"/>
    </row>
    <row r="25" spans="1:5" ht="14.5" customHeight="1" x14ac:dyDescent="0.35">
      <c r="A25" s="2" t="s">
        <v>31</v>
      </c>
      <c r="B25" s="3">
        <v>0.2833</v>
      </c>
      <c r="C25" s="3">
        <v>84.602199999999996</v>
      </c>
      <c r="D25" s="4">
        <f t="shared" si="0"/>
        <v>23.96780326</v>
      </c>
      <c r="E25" s="11"/>
    </row>
    <row r="26" spans="1:5" ht="14.5" customHeight="1" x14ac:dyDescent="0.35">
      <c r="A26" s="6" t="s">
        <v>32</v>
      </c>
      <c r="B26" s="7">
        <v>0.31540000000000001</v>
      </c>
      <c r="C26" s="7">
        <v>75.992599999999996</v>
      </c>
      <c r="D26" s="8">
        <f t="shared" si="0"/>
        <v>23.96806604</v>
      </c>
      <c r="E26" s="10"/>
    </row>
    <row r="27" spans="1:5" ht="14.5" customHeight="1" x14ac:dyDescent="0.35">
      <c r="A27" s="2" t="s">
        <v>33</v>
      </c>
      <c r="B27" s="3">
        <v>2.0190000000000001</v>
      </c>
      <c r="C27" s="3">
        <v>6.75</v>
      </c>
      <c r="D27" s="4">
        <f t="shared" si="0"/>
        <v>13.628250000000001</v>
      </c>
      <c r="E27" s="11"/>
    </row>
    <row r="28" spans="1:5" ht="14.5" customHeight="1" x14ac:dyDescent="0.35">
      <c r="A28" s="6" t="s">
        <v>34</v>
      </c>
      <c r="B28" s="7">
        <v>0.22900000000000001</v>
      </c>
      <c r="C28" s="7">
        <v>65.475999999999999</v>
      </c>
      <c r="D28" s="8">
        <f t="shared" si="0"/>
        <v>14.994004</v>
      </c>
      <c r="E28" s="10"/>
    </row>
    <row r="29" spans="1:5" ht="14.5" customHeight="1" x14ac:dyDescent="0.35">
      <c r="A29" s="2" t="s">
        <v>35</v>
      </c>
      <c r="B29" s="3">
        <v>1.6633</v>
      </c>
      <c r="C29" s="3">
        <v>9.0180000000000007</v>
      </c>
      <c r="D29" s="4">
        <f t="shared" si="0"/>
        <v>14.999639400000001</v>
      </c>
      <c r="E29" s="11"/>
    </row>
    <row r="30" spans="1:5" ht="14.5" customHeight="1" x14ac:dyDescent="0.35">
      <c r="A30" s="6" t="s">
        <v>36</v>
      </c>
      <c r="B30" s="7">
        <v>2.6555455000000001</v>
      </c>
      <c r="C30" s="7">
        <v>4.87</v>
      </c>
      <c r="D30" s="8">
        <f t="shared" si="0"/>
        <v>12.932506585</v>
      </c>
      <c r="E30" s="10"/>
    </row>
    <row r="31" spans="1:5" ht="14.5" customHeight="1" x14ac:dyDescent="0.35">
      <c r="A31" s="2" t="s">
        <v>37</v>
      </c>
      <c r="B31" s="3">
        <v>0.74299999999999999</v>
      </c>
      <c r="C31" s="3">
        <v>85.01</v>
      </c>
      <c r="D31" s="4">
        <f t="shared" si="0"/>
        <v>63.162430000000001</v>
      </c>
      <c r="E31" s="11"/>
    </row>
    <row r="32" spans="1:5" ht="14.5" customHeight="1" x14ac:dyDescent="0.35">
      <c r="A32" s="6" t="s">
        <v>38</v>
      </c>
      <c r="B32" s="7">
        <v>1.5466</v>
      </c>
      <c r="C32" s="7">
        <v>18.077999999999999</v>
      </c>
      <c r="D32" s="8">
        <f t="shared" si="0"/>
        <v>27.9594348</v>
      </c>
      <c r="E32" s="10"/>
    </row>
    <row r="33" spans="1:6" ht="14.5" customHeight="1" x14ac:dyDescent="0.35">
      <c r="A33" s="2" t="s">
        <v>39</v>
      </c>
      <c r="B33" s="3">
        <v>150</v>
      </c>
      <c r="C33" s="3">
        <v>20.260000000000002</v>
      </c>
      <c r="D33" s="4">
        <f t="shared" si="0"/>
        <v>3039.0000000000005</v>
      </c>
      <c r="E33" s="11"/>
    </row>
    <row r="34" spans="1:6" ht="14.5" customHeight="1" x14ac:dyDescent="0.35">
      <c r="A34" s="6" t="s">
        <v>86</v>
      </c>
      <c r="B34" s="6">
        <v>0.12470000000000001</v>
      </c>
      <c r="C34" s="6">
        <v>320.10399999999998</v>
      </c>
      <c r="D34" s="8">
        <f t="shared" si="0"/>
        <v>39.916968799999999</v>
      </c>
      <c r="E34" s="10"/>
    </row>
    <row r="35" spans="1:6" ht="14.5" customHeight="1" x14ac:dyDescent="0.35">
      <c r="A35" s="2"/>
      <c r="B35" s="2"/>
      <c r="C35" s="2"/>
      <c r="D35" s="4" t="str">
        <f t="shared" si="0"/>
        <v/>
      </c>
      <c r="E35" s="11"/>
    </row>
    <row r="36" spans="1:6" ht="14.5" customHeight="1" x14ac:dyDescent="0.35">
      <c r="A36" s="6"/>
      <c r="B36" s="6"/>
      <c r="C36" s="6"/>
      <c r="D36" s="8" t="str">
        <f t="shared" si="0"/>
        <v/>
      </c>
      <c r="E36" s="10"/>
    </row>
    <row r="37" spans="1:6" ht="14.5" customHeight="1" x14ac:dyDescent="0.35">
      <c r="A37" s="2"/>
      <c r="B37" s="2"/>
      <c r="C37" s="2"/>
      <c r="D37" s="4" t="str">
        <f t="shared" si="0"/>
        <v/>
      </c>
      <c r="E37" s="11"/>
    </row>
    <row r="38" spans="1:6" ht="14.5" customHeight="1" x14ac:dyDescent="0.35">
      <c r="A38" s="6"/>
      <c r="B38" s="6"/>
      <c r="C38" s="6"/>
      <c r="D38" s="8" t="str">
        <f t="shared" si="0"/>
        <v/>
      </c>
      <c r="E38" s="10"/>
    </row>
    <row r="39" spans="1:6" ht="14.5" customHeight="1" x14ac:dyDescent="0.35">
      <c r="A39" s="2"/>
      <c r="B39" s="2"/>
      <c r="C39" s="2"/>
      <c r="D39" s="4" t="str">
        <f t="shared" si="0"/>
        <v/>
      </c>
      <c r="E39" s="11"/>
    </row>
    <row r="40" spans="1:6" ht="14.5" customHeight="1" x14ac:dyDescent="0.35">
      <c r="A40" s="6"/>
      <c r="B40" s="6"/>
      <c r="C40" s="6"/>
      <c r="D40" s="8" t="str">
        <f t="shared" si="0"/>
        <v/>
      </c>
      <c r="E40" s="10"/>
    </row>
    <row r="42" spans="1:6" ht="6" customHeight="1" x14ac:dyDescent="0.35"/>
    <row r="43" spans="1:6" ht="14.5" customHeight="1" x14ac:dyDescent="0.35">
      <c r="A43" s="35" t="s">
        <v>40</v>
      </c>
      <c r="B43" s="36"/>
      <c r="C43" s="36"/>
      <c r="D43" s="36"/>
      <c r="E43" s="36"/>
      <c r="F43" s="36"/>
    </row>
    <row r="44" spans="1:6" ht="14.5" customHeight="1" x14ac:dyDescent="0.35">
      <c r="A44" s="35" t="s">
        <v>41</v>
      </c>
      <c r="B44" s="36"/>
      <c r="C44" s="36"/>
      <c r="D44" s="36"/>
      <c r="E44" s="36"/>
      <c r="F44" s="36"/>
    </row>
    <row r="45" spans="1:6" ht="14.5" customHeight="1" x14ac:dyDescent="0.35">
      <c r="A45" s="35" t="s">
        <v>42</v>
      </c>
      <c r="B45" s="36"/>
      <c r="C45" s="36"/>
      <c r="D45" s="36"/>
      <c r="E45" s="36"/>
      <c r="F45" s="36"/>
    </row>
  </sheetData>
  <mergeCells count="5">
    <mergeCell ref="A2:F2"/>
    <mergeCell ref="A44:F44"/>
    <mergeCell ref="A1:F1"/>
    <mergeCell ref="A45:F45"/>
    <mergeCell ref="A43:F4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workbookViewId="0">
      <pane ySplit="3" topLeftCell="A4" activePane="bottomLeft" state="frozen"/>
      <selection pane="bottomLeft" activeCell="G6" sqref="G6"/>
    </sheetView>
  </sheetViews>
  <sheetFormatPr defaultRowHeight="14.5" x14ac:dyDescent="0.35"/>
  <cols>
    <col min="1" max="1" width="18" customWidth="1"/>
    <col min="2" max="2" width="16" customWidth="1"/>
    <col min="3" max="3" width="14" style="21" customWidth="1"/>
    <col min="4" max="4" width="30" customWidth="1"/>
  </cols>
  <sheetData>
    <row r="1" spans="1:13" ht="18.5" customHeight="1" x14ac:dyDescent="0.45">
      <c r="A1" s="38" t="s">
        <v>43</v>
      </c>
      <c r="B1" s="36"/>
      <c r="C1" s="39"/>
      <c r="D1" s="36"/>
    </row>
    <row r="2" spans="1:13" ht="36" customHeight="1" x14ac:dyDescent="0.35">
      <c r="A2" s="40" t="s">
        <v>44</v>
      </c>
      <c r="B2" s="36"/>
      <c r="C2" s="39"/>
      <c r="D2" s="36"/>
    </row>
    <row r="3" spans="1:13" ht="22" customHeight="1" x14ac:dyDescent="0.35">
      <c r="A3" s="12" t="s">
        <v>45</v>
      </c>
      <c r="B3" s="12" t="s">
        <v>46</v>
      </c>
      <c r="C3" s="18" t="s">
        <v>47</v>
      </c>
      <c r="D3" s="12" t="s">
        <v>48</v>
      </c>
    </row>
    <row r="4" spans="1:13" x14ac:dyDescent="0.35">
      <c r="A4" s="13" t="s">
        <v>37</v>
      </c>
      <c r="B4" s="13" t="s">
        <v>12</v>
      </c>
      <c r="C4" s="19">
        <v>3.15E-2</v>
      </c>
      <c r="D4" s="14" t="s">
        <v>49</v>
      </c>
    </row>
    <row r="5" spans="1:13" x14ac:dyDescent="0.35">
      <c r="A5" s="13" t="s">
        <v>37</v>
      </c>
      <c r="B5" s="15" t="s">
        <v>50</v>
      </c>
      <c r="C5" s="20">
        <v>1.3299999999999999E-2</v>
      </c>
      <c r="D5" s="16" t="s">
        <v>51</v>
      </c>
    </row>
    <row r="6" spans="1:13" x14ac:dyDescent="0.35">
      <c r="A6" s="13" t="s">
        <v>37</v>
      </c>
      <c r="B6" s="13">
        <v>5930</v>
      </c>
      <c r="C6" s="19">
        <v>1.2200000000000001E-2</v>
      </c>
      <c r="D6" s="14" t="s">
        <v>52</v>
      </c>
      <c r="L6" s="17"/>
      <c r="M6" s="17"/>
    </row>
    <row r="7" spans="1:13" x14ac:dyDescent="0.35">
      <c r="A7" s="13" t="s">
        <v>37</v>
      </c>
      <c r="B7" s="15" t="s">
        <v>39</v>
      </c>
      <c r="C7" s="20">
        <v>1.12E-2</v>
      </c>
      <c r="D7" s="16" t="s">
        <v>53</v>
      </c>
      <c r="L7" s="17"/>
      <c r="M7" s="17"/>
    </row>
    <row r="8" spans="1:13" x14ac:dyDescent="0.35">
      <c r="A8" s="13" t="s">
        <v>37</v>
      </c>
      <c r="B8" s="13">
        <v>9988</v>
      </c>
      <c r="C8" s="19">
        <v>8.9999999999999993E-3</v>
      </c>
      <c r="D8" s="14" t="s">
        <v>54</v>
      </c>
      <c r="L8" s="17"/>
      <c r="M8" s="17"/>
    </row>
    <row r="9" spans="1:13" x14ac:dyDescent="0.35">
      <c r="A9" s="13" t="s">
        <v>37</v>
      </c>
      <c r="B9" s="15">
        <v>660</v>
      </c>
      <c r="C9" s="20">
        <v>7.9000000000000008E-3</v>
      </c>
      <c r="D9" s="16" t="s">
        <v>55</v>
      </c>
      <c r="L9" s="17"/>
      <c r="M9" s="17"/>
    </row>
    <row r="10" spans="1:13" x14ac:dyDescent="0.35">
      <c r="A10" s="13" t="s">
        <v>37</v>
      </c>
      <c r="B10" s="13" t="s">
        <v>56</v>
      </c>
      <c r="C10" s="19">
        <v>7.4999999999999997E-3</v>
      </c>
      <c r="D10" s="14" t="s">
        <v>57</v>
      </c>
      <c r="L10" s="17"/>
      <c r="M10" s="17"/>
    </row>
    <row r="11" spans="1:13" x14ac:dyDescent="0.35">
      <c r="A11" s="13" t="s">
        <v>37</v>
      </c>
      <c r="B11" s="15" t="s">
        <v>58</v>
      </c>
      <c r="C11" s="20">
        <v>7.1000000000000004E-3</v>
      </c>
      <c r="D11" s="16" t="s">
        <v>59</v>
      </c>
      <c r="L11" s="17"/>
      <c r="M11" s="17"/>
    </row>
    <row r="12" spans="1:13" x14ac:dyDescent="0.35">
      <c r="A12" s="13" t="s">
        <v>37</v>
      </c>
      <c r="B12" s="13" t="s">
        <v>60</v>
      </c>
      <c r="C12" s="19">
        <v>6.7000000000000002E-3</v>
      </c>
      <c r="D12" s="14" t="s">
        <v>61</v>
      </c>
      <c r="L12" s="17"/>
      <c r="M12" s="17"/>
    </row>
    <row r="13" spans="1:13" x14ac:dyDescent="0.35">
      <c r="A13" s="13" t="s">
        <v>37</v>
      </c>
      <c r="B13" s="15" t="s">
        <v>62</v>
      </c>
      <c r="C13" s="20">
        <v>6.6E-3</v>
      </c>
      <c r="D13" s="16" t="s">
        <v>63</v>
      </c>
      <c r="L13" s="17"/>
      <c r="M13" s="17"/>
    </row>
    <row r="14" spans="1:13" x14ac:dyDescent="0.35">
      <c r="A14" s="13" t="s">
        <v>37</v>
      </c>
      <c r="B14" s="13">
        <v>7203</v>
      </c>
      <c r="C14" s="19">
        <v>5.7000000000000002E-3</v>
      </c>
      <c r="D14" s="14" t="s">
        <v>64</v>
      </c>
      <c r="L14" s="17"/>
      <c r="M14" s="17"/>
    </row>
    <row r="15" spans="1:13" x14ac:dyDescent="0.35">
      <c r="A15" s="13" t="s">
        <v>37</v>
      </c>
      <c r="B15" s="15" t="s">
        <v>65</v>
      </c>
      <c r="C15" s="20">
        <v>5.7000000000000002E-3</v>
      </c>
      <c r="D15" s="16" t="s">
        <v>66</v>
      </c>
      <c r="L15" s="17"/>
      <c r="M15" s="17"/>
    </row>
    <row r="16" spans="1:13" x14ac:dyDescent="0.35">
      <c r="A16" s="13" t="s">
        <v>37</v>
      </c>
      <c r="B16" s="13" t="s">
        <v>67</v>
      </c>
      <c r="C16" s="19">
        <v>5.4999999999999997E-3</v>
      </c>
      <c r="D16" s="14" t="s">
        <v>68</v>
      </c>
      <c r="L16" s="17"/>
      <c r="M16" s="17"/>
    </row>
    <row r="17" spans="1:13" x14ac:dyDescent="0.35">
      <c r="A17" s="13" t="s">
        <v>37</v>
      </c>
      <c r="B17" s="15" t="s">
        <v>69</v>
      </c>
      <c r="C17" s="20">
        <v>5.3E-3</v>
      </c>
      <c r="D17" s="16" t="s">
        <v>70</v>
      </c>
      <c r="L17" s="17"/>
      <c r="M17" s="17"/>
    </row>
    <row r="18" spans="1:13" x14ac:dyDescent="0.35">
      <c r="A18" s="13" t="s">
        <v>37</v>
      </c>
      <c r="B18" s="13" t="s">
        <v>71</v>
      </c>
      <c r="C18" s="19">
        <v>5.3E-3</v>
      </c>
      <c r="D18" s="14" t="s">
        <v>72</v>
      </c>
      <c r="L18" s="17"/>
      <c r="M18" s="17"/>
    </row>
    <row r="19" spans="1:13" x14ac:dyDescent="0.35">
      <c r="A19" s="13" t="s">
        <v>37</v>
      </c>
      <c r="B19" s="15" t="s">
        <v>73</v>
      </c>
      <c r="C19" s="20">
        <v>4.8999999999999998E-3</v>
      </c>
      <c r="D19" s="16" t="s">
        <v>74</v>
      </c>
      <c r="L19" s="17"/>
      <c r="M19" s="17"/>
    </row>
    <row r="20" spans="1:13" x14ac:dyDescent="0.35">
      <c r="A20" s="13" t="s">
        <v>37</v>
      </c>
      <c r="B20" s="13">
        <v>8306</v>
      </c>
      <c r="C20" s="19">
        <v>4.7000000000000002E-3</v>
      </c>
      <c r="D20" s="14" t="s">
        <v>75</v>
      </c>
      <c r="L20" s="17"/>
      <c r="M20" s="17"/>
    </row>
    <row r="21" spans="1:13" x14ac:dyDescent="0.35">
      <c r="A21" s="13" t="s">
        <v>37</v>
      </c>
      <c r="B21" s="15" t="s">
        <v>76</v>
      </c>
      <c r="C21" s="20">
        <v>4.4999999999999997E-3</v>
      </c>
      <c r="D21" s="16" t="s">
        <v>77</v>
      </c>
      <c r="L21" s="17"/>
      <c r="M21" s="17"/>
    </row>
    <row r="22" spans="1:13" x14ac:dyDescent="0.35">
      <c r="A22" s="13" t="s">
        <v>37</v>
      </c>
      <c r="B22" s="13" t="s">
        <v>78</v>
      </c>
      <c r="C22" s="19">
        <v>4.4000000000000003E-3</v>
      </c>
      <c r="D22" s="14" t="s">
        <v>79</v>
      </c>
      <c r="L22" s="17"/>
      <c r="M22" s="17"/>
    </row>
    <row r="23" spans="1:13" x14ac:dyDescent="0.35">
      <c r="A23" s="13" t="s">
        <v>37</v>
      </c>
      <c r="B23" s="15" t="s">
        <v>80</v>
      </c>
      <c r="C23" s="20">
        <v>4.1999999999999997E-3</v>
      </c>
      <c r="D23" s="16" t="s">
        <v>81</v>
      </c>
      <c r="L23" s="17"/>
      <c r="M23" s="17"/>
    </row>
    <row r="24" spans="1:13" x14ac:dyDescent="0.35">
      <c r="A24" s="13"/>
      <c r="B24" s="13"/>
      <c r="C24" s="19"/>
      <c r="D24" s="14"/>
      <c r="L24" s="17"/>
      <c r="M24" s="17"/>
    </row>
    <row r="25" spans="1:13" x14ac:dyDescent="0.35">
      <c r="A25" s="15"/>
      <c r="B25" s="15"/>
      <c r="C25" s="20"/>
      <c r="D25" s="16"/>
      <c r="L25" s="17"/>
      <c r="M25" s="17"/>
    </row>
    <row r="26" spans="1:13" x14ac:dyDescent="0.35">
      <c r="A26" s="13"/>
      <c r="B26" s="13"/>
      <c r="C26" s="19"/>
      <c r="D26" s="14"/>
    </row>
    <row r="27" spans="1:13" x14ac:dyDescent="0.35">
      <c r="A27" s="15"/>
      <c r="B27" s="15"/>
      <c r="C27" s="20"/>
      <c r="D27" s="16"/>
    </row>
    <row r="28" spans="1:13" x14ac:dyDescent="0.35">
      <c r="A28" s="13"/>
      <c r="B28" s="13"/>
      <c r="C28" s="19"/>
      <c r="D28" s="14"/>
    </row>
    <row r="29" spans="1:13" x14ac:dyDescent="0.35">
      <c r="A29" s="15"/>
      <c r="B29" s="15"/>
      <c r="C29" s="20"/>
      <c r="D29" s="16"/>
    </row>
    <row r="30" spans="1:13" x14ac:dyDescent="0.35">
      <c r="A30" s="13"/>
      <c r="B30" s="13"/>
      <c r="C30" s="19"/>
      <c r="D30" s="14"/>
    </row>
    <row r="31" spans="1:13" x14ac:dyDescent="0.35">
      <c r="A31" s="15"/>
      <c r="B31" s="15"/>
      <c r="C31" s="20"/>
      <c r="D31" s="16"/>
    </row>
    <row r="32" spans="1:13" x14ac:dyDescent="0.35">
      <c r="A32" s="13"/>
      <c r="B32" s="13"/>
      <c r="C32" s="19"/>
      <c r="D32" s="14"/>
    </row>
    <row r="33" spans="1:4" x14ac:dyDescent="0.35">
      <c r="A33" s="15"/>
      <c r="B33" s="15"/>
      <c r="C33" s="20"/>
      <c r="D33" s="16"/>
    </row>
  </sheetData>
  <autoFilter ref="A3:D3" xr:uid="{00000000-0009-0000-0000-000001000000}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7"/>
  <sheetViews>
    <sheetView workbookViewId="0">
      <pane ySplit="3" topLeftCell="A7" activePane="bottomLeft" state="frozen"/>
      <selection pane="bottomLeft" activeCell="F29" sqref="F29"/>
    </sheetView>
  </sheetViews>
  <sheetFormatPr defaultRowHeight="14.5" x14ac:dyDescent="0.35"/>
  <cols>
    <col min="1" max="2" width="18" style="34" customWidth="1"/>
    <col min="3" max="3" width="36" customWidth="1"/>
  </cols>
  <sheetData>
    <row r="1" spans="1:4" ht="18.5" x14ac:dyDescent="0.45">
      <c r="A1" s="41" t="s">
        <v>82</v>
      </c>
      <c r="B1" s="36"/>
      <c r="C1" s="36"/>
      <c r="D1" s="36"/>
    </row>
    <row r="2" spans="1:4" ht="32" customHeight="1" x14ac:dyDescent="0.35">
      <c r="A2" s="42" t="s">
        <v>83</v>
      </c>
      <c r="B2" s="36"/>
      <c r="C2" s="36"/>
      <c r="D2" s="36"/>
    </row>
    <row r="3" spans="1:4" ht="22" customHeight="1" x14ac:dyDescent="0.35">
      <c r="A3" s="22" t="s">
        <v>2</v>
      </c>
      <c r="B3" s="22" t="s">
        <v>84</v>
      </c>
      <c r="C3" s="22" t="s">
        <v>48</v>
      </c>
    </row>
    <row r="4" spans="1:4" x14ac:dyDescent="0.35">
      <c r="A4" s="28" t="s">
        <v>12</v>
      </c>
      <c r="B4" s="30">
        <v>6.5</v>
      </c>
      <c r="C4" s="23"/>
    </row>
    <row r="5" spans="1:4" x14ac:dyDescent="0.35">
      <c r="A5" s="29" t="s">
        <v>14</v>
      </c>
      <c r="B5" s="31">
        <v>5</v>
      </c>
      <c r="C5" s="24"/>
    </row>
    <row r="6" spans="1:4" x14ac:dyDescent="0.35">
      <c r="A6" s="28" t="s">
        <v>16</v>
      </c>
      <c r="B6" s="30">
        <v>5</v>
      </c>
      <c r="C6" s="23"/>
    </row>
    <row r="7" spans="1:4" x14ac:dyDescent="0.35">
      <c r="A7" s="29" t="s">
        <v>17</v>
      </c>
      <c r="B7" s="31">
        <v>5</v>
      </c>
      <c r="C7" s="24"/>
    </row>
    <row r="8" spans="1:4" x14ac:dyDescent="0.35">
      <c r="A8" s="28" t="s">
        <v>18</v>
      </c>
      <c r="B8" s="30">
        <v>3</v>
      </c>
      <c r="C8" s="23"/>
    </row>
    <row r="9" spans="1:4" x14ac:dyDescent="0.35">
      <c r="A9" s="28" t="s">
        <v>19</v>
      </c>
      <c r="B9" s="30">
        <v>3</v>
      </c>
      <c r="C9" s="26"/>
    </row>
    <row r="10" spans="1:4" x14ac:dyDescent="0.35">
      <c r="A10" s="29" t="s">
        <v>20</v>
      </c>
      <c r="B10" s="31">
        <v>4</v>
      </c>
      <c r="C10" s="27"/>
    </row>
    <row r="11" spans="1:4" x14ac:dyDescent="0.35">
      <c r="A11" s="28" t="s">
        <v>21</v>
      </c>
      <c r="B11" s="30">
        <v>4</v>
      </c>
      <c r="C11" s="26"/>
    </row>
    <row r="12" spans="1:4" x14ac:dyDescent="0.35">
      <c r="A12" s="29" t="s">
        <v>22</v>
      </c>
      <c r="B12" s="31">
        <v>3</v>
      </c>
      <c r="C12" s="27"/>
    </row>
    <row r="13" spans="1:4" x14ac:dyDescent="0.35">
      <c r="A13" s="28" t="s">
        <v>23</v>
      </c>
      <c r="B13" s="30">
        <v>4</v>
      </c>
      <c r="C13" s="26"/>
    </row>
    <row r="14" spans="1:4" x14ac:dyDescent="0.35">
      <c r="A14" s="29" t="s">
        <v>24</v>
      </c>
      <c r="B14" s="31">
        <v>3</v>
      </c>
      <c r="C14" s="27"/>
    </row>
    <row r="15" spans="1:4" x14ac:dyDescent="0.35">
      <c r="A15" s="28" t="s">
        <v>25</v>
      </c>
      <c r="B15" s="30">
        <v>3</v>
      </c>
      <c r="C15" s="26"/>
    </row>
    <row r="16" spans="1:4" x14ac:dyDescent="0.35">
      <c r="A16" s="29" t="s">
        <v>26</v>
      </c>
      <c r="B16" s="31">
        <v>2.5</v>
      </c>
      <c r="C16" s="27"/>
    </row>
    <row r="17" spans="1:3" x14ac:dyDescent="0.35">
      <c r="A17" s="28" t="s">
        <v>27</v>
      </c>
      <c r="B17" s="30">
        <v>3</v>
      </c>
      <c r="C17" s="26"/>
    </row>
    <row r="18" spans="1:3" x14ac:dyDescent="0.35">
      <c r="A18" s="29" t="s">
        <v>28</v>
      </c>
      <c r="B18" s="31">
        <v>3</v>
      </c>
      <c r="C18" s="27"/>
    </row>
    <row r="19" spans="1:3" x14ac:dyDescent="0.35">
      <c r="A19" s="28" t="s">
        <v>29</v>
      </c>
      <c r="B19" s="30">
        <v>2</v>
      </c>
      <c r="C19" s="26"/>
    </row>
    <row r="20" spans="1:3" x14ac:dyDescent="0.35">
      <c r="A20" s="29" t="s">
        <v>30</v>
      </c>
      <c r="B20" s="31">
        <v>1.5</v>
      </c>
      <c r="C20" s="27"/>
    </row>
    <row r="21" spans="1:3" x14ac:dyDescent="0.35">
      <c r="A21" s="28" t="s">
        <v>31</v>
      </c>
      <c r="B21" s="30">
        <v>1.5</v>
      </c>
      <c r="C21" s="26"/>
    </row>
    <row r="22" spans="1:3" x14ac:dyDescent="0.35">
      <c r="A22" s="29" t="s">
        <v>32</v>
      </c>
      <c r="B22" s="31">
        <v>1.5</v>
      </c>
      <c r="C22" s="27"/>
    </row>
    <row r="23" spans="1:3" x14ac:dyDescent="0.35">
      <c r="A23" s="28" t="s">
        <v>33</v>
      </c>
      <c r="B23" s="30">
        <v>1</v>
      </c>
      <c r="C23" s="26"/>
    </row>
    <row r="24" spans="1:3" x14ac:dyDescent="0.35">
      <c r="A24" s="29" t="s">
        <v>34</v>
      </c>
      <c r="B24" s="31">
        <v>1</v>
      </c>
      <c r="C24" s="27"/>
    </row>
    <row r="25" spans="1:3" x14ac:dyDescent="0.35">
      <c r="A25" s="28" t="s">
        <v>35</v>
      </c>
      <c r="B25" s="30">
        <v>1</v>
      </c>
      <c r="C25" s="26"/>
    </row>
    <row r="26" spans="1:3" x14ac:dyDescent="0.35">
      <c r="A26" s="29" t="s">
        <v>36</v>
      </c>
      <c r="B26" s="31">
        <v>1</v>
      </c>
      <c r="C26" s="27"/>
    </row>
    <row r="27" spans="1:3" x14ac:dyDescent="0.35">
      <c r="A27" s="28" t="s">
        <v>37</v>
      </c>
      <c r="B27" s="30">
        <v>4.5</v>
      </c>
      <c r="C27" s="26"/>
    </row>
    <row r="28" spans="1:3" x14ac:dyDescent="0.35">
      <c r="A28" s="28" t="s">
        <v>38</v>
      </c>
      <c r="B28" s="30">
        <v>1.5</v>
      </c>
      <c r="C28" s="26"/>
    </row>
    <row r="29" spans="1:3" x14ac:dyDescent="0.35">
      <c r="A29" s="29" t="s">
        <v>39</v>
      </c>
      <c r="B29" s="31">
        <v>5</v>
      </c>
      <c r="C29" s="27"/>
    </row>
    <row r="30" spans="1:3" x14ac:dyDescent="0.35">
      <c r="A30" s="28" t="s">
        <v>7</v>
      </c>
      <c r="B30" s="30">
        <v>6</v>
      </c>
      <c r="C30" s="26"/>
    </row>
    <row r="31" spans="1:3" x14ac:dyDescent="0.35">
      <c r="A31" s="29" t="s">
        <v>9</v>
      </c>
      <c r="B31" s="31">
        <v>6.5</v>
      </c>
      <c r="C31" s="27"/>
    </row>
    <row r="32" spans="1:3" x14ac:dyDescent="0.35">
      <c r="A32" s="28" t="s">
        <v>11</v>
      </c>
      <c r="B32" s="30">
        <v>5</v>
      </c>
      <c r="C32" s="26"/>
    </row>
    <row r="33" spans="1:3" x14ac:dyDescent="0.35">
      <c r="A33" s="29" t="s">
        <v>86</v>
      </c>
      <c r="B33" s="31">
        <v>4</v>
      </c>
      <c r="C33" s="27"/>
    </row>
    <row r="34" spans="1:3" x14ac:dyDescent="0.35">
      <c r="A34" s="28"/>
      <c r="B34" s="30"/>
      <c r="C34" s="26"/>
    </row>
    <row r="35" spans="1:3" x14ac:dyDescent="0.35">
      <c r="A35" s="29"/>
      <c r="B35" s="31"/>
      <c r="C35" s="27"/>
    </row>
    <row r="36" spans="1:3" x14ac:dyDescent="0.35">
      <c r="A36" s="28"/>
      <c r="B36" s="30"/>
      <c r="C36" s="26"/>
    </row>
    <row r="37" spans="1:3" x14ac:dyDescent="0.35">
      <c r="A37" s="29"/>
      <c r="B37" s="31"/>
      <c r="C37" s="27"/>
    </row>
    <row r="38" spans="1:3" x14ac:dyDescent="0.35">
      <c r="A38" s="28"/>
      <c r="B38" s="30"/>
      <c r="C38" s="26"/>
    </row>
    <row r="39" spans="1:3" x14ac:dyDescent="0.35">
      <c r="A39" s="29"/>
      <c r="B39" s="31"/>
      <c r="C39" s="27"/>
    </row>
    <row r="40" spans="1:3" x14ac:dyDescent="0.35">
      <c r="A40" s="28"/>
      <c r="B40" s="30"/>
      <c r="C40" s="26"/>
    </row>
    <row r="41" spans="1:3" x14ac:dyDescent="0.35">
      <c r="A41" s="29"/>
      <c r="B41" s="31"/>
      <c r="C41" s="27"/>
    </row>
    <row r="42" spans="1:3" x14ac:dyDescent="0.35">
      <c r="A42" s="28"/>
      <c r="B42" s="30"/>
      <c r="C42" s="26"/>
    </row>
    <row r="43" spans="1:3" x14ac:dyDescent="0.35">
      <c r="A43" s="29"/>
      <c r="B43" s="31"/>
      <c r="C43" s="27"/>
    </row>
    <row r="44" spans="1:3" x14ac:dyDescent="0.35">
      <c r="A44" s="28"/>
      <c r="B44" s="30"/>
      <c r="C44" s="26"/>
    </row>
    <row r="45" spans="1:3" x14ac:dyDescent="0.35">
      <c r="A45" s="29"/>
      <c r="B45" s="31"/>
      <c r="C45" s="27"/>
    </row>
    <row r="46" spans="1:3" x14ac:dyDescent="0.35">
      <c r="A46" s="28"/>
      <c r="B46" s="30"/>
      <c r="C46" s="26"/>
    </row>
    <row r="47" spans="1:3" x14ac:dyDescent="0.35">
      <c r="A47" s="32" t="s">
        <v>85</v>
      </c>
      <c r="B47" s="33">
        <f>SUM(B4:B46)</f>
        <v>100</v>
      </c>
      <c r="C47" s="25"/>
    </row>
    <row r="48" spans="1:3" x14ac:dyDescent="0.35">
      <c r="A48" s="28"/>
      <c r="B48" s="30"/>
      <c r="C48" s="26"/>
    </row>
    <row r="49" spans="1:3" x14ac:dyDescent="0.35">
      <c r="A49" s="29"/>
      <c r="B49" s="31"/>
      <c r="C49" s="27"/>
    </row>
    <row r="50" spans="1:3" x14ac:dyDescent="0.35">
      <c r="A50" s="28"/>
      <c r="B50" s="30"/>
      <c r="C50" s="26"/>
    </row>
    <row r="51" spans="1:3" x14ac:dyDescent="0.35">
      <c r="A51" s="29"/>
      <c r="B51" s="31"/>
      <c r="C51" s="27"/>
    </row>
    <row r="52" spans="1:3" x14ac:dyDescent="0.35">
      <c r="A52" s="28"/>
      <c r="B52" s="30"/>
      <c r="C52" s="26"/>
    </row>
    <row r="53" spans="1:3" x14ac:dyDescent="0.35">
      <c r="A53" s="29"/>
      <c r="B53" s="31"/>
      <c r="C53" s="27"/>
    </row>
    <row r="54" spans="1:3" x14ac:dyDescent="0.35">
      <c r="A54" s="28"/>
      <c r="B54" s="30"/>
      <c r="C54" s="26"/>
    </row>
    <row r="55" spans="1:3" x14ac:dyDescent="0.35">
      <c r="A55" s="29"/>
      <c r="B55" s="31"/>
      <c r="C55" s="27"/>
    </row>
    <row r="56" spans="1:3" x14ac:dyDescent="0.35">
      <c r="A56" s="28"/>
      <c r="B56" s="30"/>
      <c r="C56" s="26"/>
    </row>
    <row r="57" spans="1:3" x14ac:dyDescent="0.35">
      <c r="A57" s="29"/>
      <c r="B57" s="31"/>
      <c r="C57" s="27"/>
    </row>
    <row r="58" spans="1:3" x14ac:dyDescent="0.35">
      <c r="A58" s="28"/>
      <c r="B58" s="30"/>
      <c r="C58" s="26"/>
    </row>
    <row r="59" spans="1:3" x14ac:dyDescent="0.35">
      <c r="A59" s="29"/>
      <c r="B59" s="31"/>
      <c r="C59" s="27"/>
    </row>
    <row r="60" spans="1:3" x14ac:dyDescent="0.35">
      <c r="A60" s="28"/>
      <c r="B60" s="30"/>
      <c r="C60" s="26"/>
    </row>
    <row r="61" spans="1:3" x14ac:dyDescent="0.35">
      <c r="A61" s="29"/>
      <c r="B61" s="31"/>
      <c r="C61" s="27"/>
    </row>
    <row r="62" spans="1:3" x14ac:dyDescent="0.35">
      <c r="A62" s="28"/>
      <c r="B62" s="30"/>
      <c r="C62" s="26"/>
    </row>
    <row r="63" spans="1:3" x14ac:dyDescent="0.35">
      <c r="A63" s="29"/>
      <c r="B63" s="31"/>
      <c r="C63" s="27"/>
    </row>
    <row r="64" spans="1:3" x14ac:dyDescent="0.35">
      <c r="A64" s="28"/>
      <c r="B64" s="30"/>
      <c r="C64" s="26"/>
    </row>
    <row r="65" spans="1:3" x14ac:dyDescent="0.35">
      <c r="A65" s="29"/>
      <c r="B65" s="31"/>
      <c r="C65" s="27"/>
    </row>
    <row r="66" spans="1:3" x14ac:dyDescent="0.35">
      <c r="A66" s="28"/>
      <c r="B66" s="30"/>
      <c r="C66" s="26"/>
    </row>
    <row r="67" spans="1:3" x14ac:dyDescent="0.35">
      <c r="A67" s="29"/>
      <c r="B67" s="31"/>
      <c r="C67" s="27"/>
    </row>
  </sheetData>
  <autoFilter ref="A3:C3" xr:uid="{00000000-0009-0000-0000-000002000000}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</vt:lpstr>
      <vt:lpstr>ETF_Holdings</vt:lpstr>
      <vt:lpstr>Rebalancing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Teerapat Boonchu</cp:lastModifiedBy>
  <cp:revision>0</cp:revision>
  <dcterms:created xsi:type="dcterms:W3CDTF">2026-03-04T03:49:35Z</dcterms:created>
  <dcterms:modified xsi:type="dcterms:W3CDTF">2026-03-05T02:43:21Z</dcterms:modified>
  <dc:language>en-US</dc:language>
</cp:coreProperties>
</file>